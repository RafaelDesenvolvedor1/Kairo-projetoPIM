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<sst xmlns="http://schemas.openxmlformats.org/spreadsheetml/2006/main" count="105" uniqueCount="60">
  <si>
    <t>PLANEJAMENTO DE SPRINT</t>
  </si>
  <si>
    <t>NOME DO PROJETO</t>
  </si>
  <si>
    <t>GERENTE DO PROJETO</t>
  </si>
  <si>
    <t>DATA DE 
INÍCIO</t>
  </si>
  <si>
    <t>DATA DE 
TÉRMINO</t>
  </si>
  <si>
    <t>PRODUTO DO PROJETO</t>
  </si>
  <si>
    <t>Kairo - Sistema de Gestão Clínica</t>
  </si>
  <si>
    <t>Rafael Santos Salgado</t>
  </si>
  <si>
    <t>DECLARAÇÃO DE ESCOPO</t>
  </si>
  <si>
    <t>Desenvolvimento de Front-end e Back-end com o objetivo de apresentar uma DEMO inicial com algumas das funções do aplicativo</t>
  </si>
  <si>
    <t>Em risco?</t>
  </si>
  <si>
    <t>NOME DA TAREFA</t>
  </si>
  <si>
    <t>TIPO DE RECURSO</t>
  </si>
  <si>
    <t>RESPONSÁVEL</t>
  </si>
  <si>
    <r>
      <rPr>
        <rFont val="Century Gothic"/>
        <b/>
        <color rgb="FFFFFFFF"/>
      </rPr>
      <t>DURAÇÃO</t>
    </r>
    <r>
      <rPr>
        <rFont val="Century Gothic"/>
        <b val="0"/>
        <color theme="0"/>
        <sz val="9.0"/>
      </rPr>
      <t xml:space="preserve"> </t>
    </r>
    <r>
      <rPr>
        <rFont val="Calibri"/>
        <b val="0"/>
        <color theme="1"/>
        <sz val="12.0"/>
      </rPr>
      <t xml:space="preserve">
</t>
    </r>
    <r>
      <rPr>
        <rFont val="Century Gothic"/>
        <b val="0"/>
        <color theme="0"/>
        <sz val="9.0"/>
      </rPr>
      <t>em dias</t>
    </r>
  </si>
  <si>
    <t>STATUS</t>
  </si>
  <si>
    <t>PRIORIDADE</t>
  </si>
  <si>
    <t>COMENTÁRIOS</t>
  </si>
  <si>
    <t>SPRINT 1</t>
  </si>
  <si>
    <t>Não</t>
  </si>
  <si>
    <t>Reformular diagrama de implementação</t>
  </si>
  <si>
    <t>documentação</t>
  </si>
  <si>
    <t>Miguel Baldon</t>
  </si>
  <si>
    <t>Baixo</t>
  </si>
  <si>
    <t>Não iniciado</t>
  </si>
  <si>
    <t xml:space="preserve">Mudar o bloco &lt;&lt;device&gt;&gt; de Desktop para Web </t>
  </si>
  <si>
    <t>Reformular diagrama de container</t>
  </si>
  <si>
    <t>Ettore</t>
  </si>
  <si>
    <t>Remover o bloco "Data Base Interno" e atualizar os fluxos para trabalhar apenas com o banco de dados externo / Alterar o bloco Desktop app para Web App e remover o Electron js dos containers / adaptar o texto da descrição para ficar de acordo com o combiando (trabalharemos com uma aplicação web)</t>
  </si>
  <si>
    <t>Reformular relatório</t>
  </si>
  <si>
    <t>Vinicius Hernandes</t>
  </si>
  <si>
    <t>Remover Java e Electron das tecnologias utilizadas no projeto, deixar apenas Node js e React js, readaptar os textos para desenvolvimento de uma aplicação web</t>
  </si>
  <si>
    <t>Esboçar as tabelas do banco de dados</t>
  </si>
  <si>
    <t>Leonardo Vinicius</t>
  </si>
  <si>
    <t>Médio</t>
  </si>
  <si>
    <t>Analisar os requisitos funcionais, a aplicação corpora e as telas prototipadas e elaborar o esboço das tabelas que vão compor a primeira versão do banco de dados.</t>
  </si>
  <si>
    <t>Elaborar o diagrama do banco de dados</t>
  </si>
  <si>
    <t>Rafael Santos</t>
  </si>
  <si>
    <t>Alto</t>
  </si>
  <si>
    <t>Elaborar o diagrama do banco de dados (primeira versão) com base no relacionamento entre as tabelas.</t>
  </si>
  <si>
    <t>SPRINT 2</t>
  </si>
  <si>
    <t>Desenvolver o banco de dados da aplicação</t>
  </si>
  <si>
    <t>Funcional</t>
  </si>
  <si>
    <t>Desenvolver o ambiente onde ficará hospedado o banco de dados e desenvolver o banco de dados em mysql</t>
  </si>
  <si>
    <t>Desenvolver a aplicação Back-end</t>
  </si>
  <si>
    <t>Desenvolver a aplicação back-end em Node Js utilizando o framework Nest Js</t>
  </si>
  <si>
    <t>Analisar as telas que ainda faltam prototipar e rascunhar as telas</t>
  </si>
  <si>
    <t>Analisar as telas que já desenvolvemos e já prototipamos, verifica quais telas ainda faltam com base nos requisitos funcionais, e utilize a aplicação Corpora como base para sugerir as telas que ainda faltam / Rascunhar as telas.</t>
  </si>
  <si>
    <t>SPRINT 3</t>
  </si>
  <si>
    <t>Desenvolver as telas que já estão prototipadas</t>
  </si>
  <si>
    <t>Conectar o front-end ao back-end</t>
  </si>
  <si>
    <t>Legendas do Menu Suspenso</t>
  </si>
  <si>
    <t>SIM/NÃO</t>
  </si>
  <si>
    <t>Sim</t>
  </si>
  <si>
    <t>Em andamento</t>
  </si>
  <si>
    <t>Concluído</t>
  </si>
  <si>
    <t>Requer análise</t>
  </si>
  <si>
    <t>Aprovado</t>
  </si>
  <si>
    <t>Atrasado</t>
  </si>
  <si>
    <t>Em espera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</si>
</sst>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"/>
    <numFmt numFmtId="166" formatCode="dd/mm/yyyy"/>
  </numFmts>
  <fonts count="10">
    <font>
      <sz val="10.0"/>
      <color rgb="FF000000"/>
      <name val="Arial"/>
      <scheme val="minor"/>
    </font>
    <font>
      <b/>
      <sz val="24.0"/>
      <color rgb="FF595959"/>
      <name val="Century Gothic"/>
    </font>
    <font>
      <sz val="12.0"/>
      <color theme="1"/>
      <name val="Calibri"/>
    </font>
    <font>
      <b/>
      <sz val="9.0"/>
      <color theme="1"/>
      <name val="Century Gothic"/>
    </font>
    <font/>
    <font>
      <sz val="11.0"/>
      <color theme="1"/>
      <name val="Arial"/>
    </font>
    <font>
      <b/>
      <color rgb="FFFFFFFF"/>
      <name val="Century Gothic"/>
    </font>
    <font>
      <color theme="1"/>
      <name val="Century Gothic"/>
    </font>
    <font>
      <b/>
      <sz val="22.0"/>
      <color rgb="FF595959"/>
      <name val="Arial"/>
    </font>
    <font>
      <b/>
      <color theme="1"/>
      <name val="Century Gothic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F7F9FB"/>
        <bgColor rgb="FFF7F9FB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F5CDC1"/>
        <bgColor rgb="FFF5CDC1"/>
      </patternFill>
    </fill>
    <fill>
      <patternFill patternType="solid">
        <fgColor rgb="FFD8D8D8"/>
        <bgColor rgb="FFD8D8D8"/>
      </patternFill>
    </fill>
    <fill>
      <patternFill patternType="solid">
        <fgColor rgb="FF00EAF0"/>
        <bgColor rgb="FF00EAF0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BDEB7"/>
        <bgColor rgb="FFFBDEB7"/>
      </patternFill>
    </fill>
    <fill>
      <patternFill patternType="solid">
        <fgColor rgb="FFA2F1E9"/>
        <bgColor rgb="FFA2F1E9"/>
      </patternFill>
    </fill>
    <fill>
      <patternFill patternType="solid">
        <fgColor rgb="FFB6FBF5"/>
        <bgColor rgb="FFB6FBF5"/>
      </patternFill>
    </fill>
    <fill>
      <patternFill patternType="solid">
        <fgColor rgb="FF92D050"/>
        <bgColor rgb="FF92D050"/>
      </patternFill>
    </fill>
    <fill>
      <patternFill patternType="solid">
        <fgColor rgb="FF03C25B"/>
        <bgColor rgb="FF03C25B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0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top style="thin">
        <color rgb="FFBFBFBF"/>
      </top>
      <bottom style="medium">
        <color rgb="FFBFBFBF"/>
      </bottom>
    </border>
    <border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shrinkToFit="0" wrapText="1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center" shrinkToFit="0" wrapText="1"/>
    </xf>
    <xf borderId="6" fillId="4" fontId="3" numFmtId="0" xfId="0" applyAlignment="1" applyBorder="1" applyFill="1" applyFont="1">
      <alignment horizontal="center" shrinkToFit="0" wrapText="1"/>
    </xf>
    <xf borderId="6" fillId="4" fontId="3" numFmtId="0" xfId="0" applyAlignment="1" applyBorder="1" applyFont="1">
      <alignment horizontal="right" shrinkToFit="0" wrapText="1"/>
    </xf>
    <xf borderId="2" fillId="4" fontId="2" numFmtId="0" xfId="0" applyBorder="1" applyFont="1"/>
    <xf borderId="7" fillId="0" fontId="4" numFmtId="0" xfId="0" applyBorder="1" applyFont="1"/>
    <xf borderId="8" fillId="5" fontId="5" numFmtId="0" xfId="0" applyBorder="1" applyFill="1" applyFont="1"/>
    <xf borderId="9" fillId="0" fontId="4" numFmtId="0" xfId="0" applyBorder="1" applyFont="1"/>
    <xf borderId="10" fillId="0" fontId="4" numFmtId="0" xfId="0" applyBorder="1" applyFont="1"/>
    <xf borderId="11" fillId="5" fontId="5" numFmtId="0" xfId="0" applyAlignment="1" applyBorder="1" applyFont="1">
      <alignment horizontal="center"/>
    </xf>
    <xf borderId="12" fillId="0" fontId="5" numFmtId="164" xfId="0" applyAlignment="1" applyBorder="1" applyFont="1" applyNumberFormat="1">
      <alignment horizontal="center"/>
    </xf>
    <xf borderId="13" fillId="4" fontId="3" numFmtId="0" xfId="0" applyAlignment="1" applyBorder="1" applyFont="1">
      <alignment horizontal="right" shrinkToFit="0" wrapText="1"/>
    </xf>
    <xf borderId="14" fillId="4" fontId="5" numFmtId="0" xfId="0" applyAlignment="1" applyBorder="1" applyFont="1">
      <alignment shrinkToFit="0" wrapText="1"/>
    </xf>
    <xf borderId="15" fillId="0" fontId="4" numFmtId="0" xfId="0" applyBorder="1" applyFont="1"/>
    <xf borderId="1" fillId="2" fontId="2" numFmtId="0" xfId="0" applyAlignment="1" applyBorder="1" applyFont="1">
      <alignment vertical="bottom"/>
    </xf>
    <xf borderId="16" fillId="6" fontId="6" numFmtId="0" xfId="0" applyAlignment="1" applyBorder="1" applyFill="1" applyFont="1">
      <alignment shrinkToFit="0" wrapText="1"/>
    </xf>
    <xf borderId="16" fillId="7" fontId="6" numFmtId="0" xfId="0" applyAlignment="1" applyBorder="1" applyFill="1" applyFont="1">
      <alignment horizontal="center" shrinkToFit="0" wrapText="1"/>
    </xf>
    <xf borderId="16" fillId="8" fontId="6" numFmtId="0" xfId="0" applyAlignment="1" applyBorder="1" applyFill="1" applyFont="1">
      <alignment horizontal="center" shrinkToFit="0" wrapText="1"/>
    </xf>
    <xf borderId="17" fillId="6" fontId="6" numFmtId="0" xfId="0" applyAlignment="1" applyBorder="1" applyFont="1">
      <alignment shrinkToFit="0" wrapText="1"/>
    </xf>
    <xf borderId="6" fillId="9" fontId="2" numFmtId="0" xfId="0" applyBorder="1" applyFill="1" applyFont="1"/>
    <xf borderId="6" fillId="9" fontId="7" numFmtId="0" xfId="0" applyAlignment="1" applyBorder="1" applyFont="1">
      <alignment shrinkToFit="0" wrapText="1"/>
    </xf>
    <xf borderId="6" fillId="9" fontId="2" numFmtId="164" xfId="0" applyBorder="1" applyFont="1" applyNumberFormat="1"/>
    <xf borderId="6" fillId="9" fontId="2" numFmtId="1" xfId="0" applyBorder="1" applyFont="1" applyNumberFormat="1"/>
    <xf borderId="18" fillId="9" fontId="2" numFmtId="0" xfId="0" applyBorder="1" applyFont="1"/>
    <xf borderId="19" fillId="9" fontId="2" numFmtId="0" xfId="0" applyBorder="1" applyFont="1"/>
    <xf borderId="6" fillId="10" fontId="7" numFmtId="0" xfId="0" applyAlignment="1" applyBorder="1" applyFill="1" applyFont="1">
      <alignment shrinkToFit="0" wrapText="1"/>
    </xf>
    <xf borderId="6" fillId="2" fontId="7" numFmtId="0" xfId="0" applyAlignment="1" applyBorder="1" applyFont="1">
      <alignment shrinkToFit="0" wrapText="1"/>
    </xf>
    <xf borderId="6" fillId="4" fontId="7" numFmtId="164" xfId="0" applyAlignment="1" applyBorder="1" applyFont="1" applyNumberFormat="1">
      <alignment horizontal="center" shrinkToFit="0" wrapText="1"/>
    </xf>
    <xf borderId="6" fillId="3" fontId="7" numFmtId="1" xfId="0" applyAlignment="1" applyBorder="1" applyFont="1" applyNumberFormat="1">
      <alignment horizontal="center" shrinkToFit="0" wrapText="1"/>
    </xf>
    <xf borderId="4" fillId="11" fontId="7" numFmtId="0" xfId="0" applyAlignment="1" applyBorder="1" applyFill="1" applyFont="1">
      <alignment shrinkToFit="0" wrapText="1"/>
    </xf>
    <xf borderId="4" fillId="12" fontId="7" numFmtId="0" xfId="0" applyAlignment="1" applyBorder="1" applyFill="1" applyFont="1">
      <alignment shrinkToFit="0" wrapText="1"/>
    </xf>
    <xf borderId="19" fillId="2" fontId="7" numFmtId="0" xfId="0" applyAlignment="1" applyBorder="1" applyFont="1">
      <alignment shrinkToFit="0" wrapText="1"/>
    </xf>
    <xf borderId="6" fillId="0" fontId="7" numFmtId="0" xfId="0" applyAlignment="1" applyBorder="1" applyFont="1">
      <alignment shrinkToFit="0" wrapText="1"/>
    </xf>
    <xf borderId="4" fillId="13" fontId="7" numFmtId="0" xfId="0" applyAlignment="1" applyBorder="1" applyFill="1" applyFont="1">
      <alignment shrinkToFit="0" wrapText="1"/>
    </xf>
    <xf borderId="4" fillId="14" fontId="7" numFmtId="0" xfId="0" applyAlignment="1" applyBorder="1" applyFill="1" applyFont="1">
      <alignment shrinkToFit="0" wrapText="1"/>
    </xf>
    <xf borderId="6" fillId="15" fontId="2" numFmtId="0" xfId="0" applyBorder="1" applyFill="1" applyFont="1"/>
    <xf borderId="6" fillId="15" fontId="7" numFmtId="0" xfId="0" applyAlignment="1" applyBorder="1" applyFont="1">
      <alignment shrinkToFit="0" wrapText="1"/>
    </xf>
    <xf borderId="6" fillId="15" fontId="2" numFmtId="165" xfId="0" applyBorder="1" applyFont="1" applyNumberFormat="1"/>
    <xf borderId="6" fillId="15" fontId="2" numFmtId="164" xfId="0" applyBorder="1" applyFont="1" applyNumberFormat="1"/>
    <xf borderId="6" fillId="15" fontId="2" numFmtId="1" xfId="0" applyBorder="1" applyFont="1" applyNumberFormat="1"/>
    <xf borderId="18" fillId="15" fontId="2" numFmtId="0" xfId="0" applyBorder="1" applyFont="1"/>
    <xf borderId="19" fillId="15" fontId="2" numFmtId="0" xfId="0" applyBorder="1" applyFont="1"/>
    <xf borderId="6" fillId="4" fontId="7" numFmtId="166" xfId="0" applyAlignment="1" applyBorder="1" applyFont="1" applyNumberFormat="1">
      <alignment horizontal="center" shrinkToFit="0" wrapText="1"/>
    </xf>
    <xf borderId="6" fillId="16" fontId="2" numFmtId="0" xfId="0" applyBorder="1" applyFill="1" applyFont="1"/>
    <xf borderId="6" fillId="16" fontId="7" numFmtId="0" xfId="0" applyAlignment="1" applyBorder="1" applyFont="1">
      <alignment shrinkToFit="0" wrapText="1"/>
    </xf>
    <xf borderId="6" fillId="16" fontId="2" numFmtId="165" xfId="0" applyBorder="1" applyFont="1" applyNumberFormat="1"/>
    <xf borderId="6" fillId="16" fontId="2" numFmtId="164" xfId="0" applyBorder="1" applyFont="1" applyNumberFormat="1"/>
    <xf borderId="6" fillId="16" fontId="2" numFmtId="1" xfId="0" applyBorder="1" applyFont="1" applyNumberFormat="1"/>
    <xf borderId="18" fillId="16" fontId="2" numFmtId="0" xfId="0" applyBorder="1" applyFont="1"/>
    <xf borderId="19" fillId="16" fontId="2" numFmtId="0" xfId="0" applyBorder="1" applyFont="1"/>
    <xf borderId="6" fillId="0" fontId="2" numFmtId="0" xfId="0" applyAlignment="1" applyBorder="1" applyFont="1">
      <alignment readingOrder="0"/>
    </xf>
    <xf borderId="6" fillId="2" fontId="7" numFmtId="0" xfId="0" applyAlignment="1" applyBorder="1" applyFont="1">
      <alignment readingOrder="0" shrinkToFit="0" wrapText="1"/>
    </xf>
    <xf borderId="6" fillId="2" fontId="2" numFmtId="0" xfId="0" applyAlignment="1" applyBorder="1" applyFont="1">
      <alignment readingOrder="0"/>
    </xf>
    <xf borderId="6" fillId="2" fontId="2" numFmtId="165" xfId="0" applyBorder="1" applyFont="1" applyNumberFormat="1"/>
    <xf borderId="6" fillId="4" fontId="2" numFmtId="164" xfId="0" applyAlignment="1" applyBorder="1" applyFont="1" applyNumberFormat="1">
      <alignment readingOrder="0"/>
    </xf>
    <xf borderId="6" fillId="3" fontId="2" numFmtId="1" xfId="0" applyBorder="1" applyFont="1" applyNumberFormat="1"/>
    <xf borderId="4" fillId="0" fontId="2" numFmtId="0" xfId="0" applyAlignment="1" applyBorder="1" applyFont="1">
      <alignment readingOrder="0"/>
    </xf>
    <xf borderId="19" fillId="2" fontId="2" numFmtId="0" xfId="0" applyBorder="1" applyFont="1"/>
    <xf borderId="0" fillId="0" fontId="2" numFmtId="0" xfId="0" applyFont="1"/>
    <xf borderId="1" fillId="2" fontId="8" numFmtId="0" xfId="0" applyBorder="1" applyFont="1"/>
    <xf borderId="1" fillId="2" fontId="2" numFmtId="0" xfId="0" applyBorder="1" applyFont="1"/>
    <xf borderId="16" fillId="10" fontId="9" numFmtId="0" xfId="0" applyAlignment="1" applyBorder="1" applyFont="1">
      <alignment horizontal="center" shrinkToFit="0" wrapText="1"/>
    </xf>
    <xf borderId="6" fillId="17" fontId="7" numFmtId="0" xfId="0" applyAlignment="1" applyBorder="1" applyFill="1" applyFont="1">
      <alignment horizontal="center"/>
    </xf>
    <xf borderId="6" fillId="11" fontId="7" numFmtId="0" xfId="0" applyBorder="1" applyFont="1"/>
    <xf borderId="6" fillId="12" fontId="7" numFmtId="0" xfId="0" applyAlignment="1" applyBorder="1" applyFont="1">
      <alignment shrinkToFit="0" wrapText="1"/>
    </xf>
    <xf borderId="6" fillId="10" fontId="7" numFmtId="0" xfId="0" applyAlignment="1" applyBorder="1" applyFont="1">
      <alignment horizontal="center"/>
    </xf>
    <xf borderId="6" fillId="13" fontId="7" numFmtId="0" xfId="0" applyBorder="1" applyFont="1"/>
    <xf borderId="6" fillId="18" fontId="7" numFmtId="0" xfId="0" applyAlignment="1" applyBorder="1" applyFill="1" applyFont="1">
      <alignment shrinkToFit="0" wrapText="1"/>
    </xf>
    <xf borderId="6" fillId="14" fontId="7" numFmtId="0" xfId="0" applyBorder="1" applyFont="1"/>
    <xf borderId="6" fillId="19" fontId="7" numFmtId="0" xfId="0" applyAlignment="1" applyBorder="1" applyFill="1" applyFont="1">
      <alignment shrinkToFit="0" wrapText="1"/>
    </xf>
    <xf borderId="6" fillId="20" fontId="7" numFmtId="0" xfId="0" applyAlignment="1" applyBorder="1" applyFill="1" applyFont="1">
      <alignment shrinkToFit="0" wrapText="1"/>
    </xf>
    <xf borderId="6" fillId="21" fontId="7" numFmtId="0" xfId="0" applyAlignment="1" applyBorder="1" applyFill="1" applyFont="1">
      <alignment shrinkToFit="0" wrapText="1"/>
    </xf>
    <xf borderId="6" fillId="22" fontId="7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38"/>
    <col customWidth="1" min="3" max="3" width="18.5"/>
    <col customWidth="1" min="4" max="4" width="19.75"/>
    <col customWidth="1" min="7" max="7" width="11.25"/>
    <col customWidth="1" min="10" max="10" width="53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4"/>
      <c r="C2" s="5"/>
      <c r="D2" s="6" t="s">
        <v>2</v>
      </c>
      <c r="E2" s="7" t="s">
        <v>3</v>
      </c>
      <c r="F2" s="7" t="s">
        <v>4</v>
      </c>
      <c r="G2" s="8" t="s">
        <v>5</v>
      </c>
      <c r="H2" s="9"/>
      <c r="I2" s="4"/>
      <c r="J2" s="10"/>
    </row>
    <row r="3">
      <c r="A3" s="11" t="s">
        <v>6</v>
      </c>
      <c r="B3" s="12"/>
      <c r="C3" s="13"/>
      <c r="D3" s="14" t="s">
        <v>7</v>
      </c>
      <c r="E3" s="15">
        <v>45689.0</v>
      </c>
      <c r="F3" s="15">
        <v>46357.0</v>
      </c>
      <c r="G3" s="16" t="s">
        <v>8</v>
      </c>
      <c r="H3" s="17" t="s">
        <v>9</v>
      </c>
      <c r="I3" s="12"/>
      <c r="J3" s="18"/>
    </row>
    <row r="4">
      <c r="A4" s="2"/>
      <c r="B4" s="19"/>
      <c r="C4" s="19"/>
      <c r="D4" s="19"/>
      <c r="E4" s="19"/>
      <c r="F4" s="19"/>
      <c r="G4" s="19"/>
      <c r="H4" s="19"/>
      <c r="I4" s="19"/>
      <c r="J4" s="19"/>
    </row>
    <row r="5">
      <c r="A5" s="20" t="s">
        <v>10</v>
      </c>
      <c r="B5" s="20" t="s">
        <v>11</v>
      </c>
      <c r="C5" s="20" t="s">
        <v>12</v>
      </c>
      <c r="D5" s="20" t="s">
        <v>13</v>
      </c>
      <c r="E5" s="21" t="s">
        <v>3</v>
      </c>
      <c r="F5" s="21" t="s">
        <v>4</v>
      </c>
      <c r="G5" s="22" t="s">
        <v>14</v>
      </c>
      <c r="H5" s="20" t="s">
        <v>15</v>
      </c>
      <c r="I5" s="20" t="s">
        <v>16</v>
      </c>
      <c r="J5" s="23" t="s">
        <v>17</v>
      </c>
    </row>
    <row r="6">
      <c r="A6" s="24"/>
      <c r="B6" s="25" t="s">
        <v>18</v>
      </c>
      <c r="C6" s="24"/>
      <c r="D6" s="24"/>
      <c r="E6" s="26"/>
      <c r="F6" s="26"/>
      <c r="G6" s="27" t="str">
        <f t="shared" ref="G6:G18" si="1">IF(E6=0,"",F6-E6+1)</f>
        <v/>
      </c>
      <c r="H6" s="28"/>
      <c r="I6" s="28"/>
      <c r="J6" s="29"/>
    </row>
    <row r="7">
      <c r="A7" s="30" t="s">
        <v>19</v>
      </c>
      <c r="B7" s="31" t="s">
        <v>20</v>
      </c>
      <c r="C7" s="31" t="s">
        <v>21</v>
      </c>
      <c r="D7" s="31" t="s">
        <v>22</v>
      </c>
      <c r="E7" s="32">
        <v>46091.0</v>
      </c>
      <c r="F7" s="32">
        <v>46098.0</v>
      </c>
      <c r="G7" s="33">
        <f t="shared" si="1"/>
        <v>8</v>
      </c>
      <c r="H7" s="34" t="s">
        <v>23</v>
      </c>
      <c r="I7" s="35" t="s">
        <v>24</v>
      </c>
      <c r="J7" s="36" t="s">
        <v>25</v>
      </c>
    </row>
    <row r="8">
      <c r="A8" s="30" t="s">
        <v>19</v>
      </c>
      <c r="B8" s="31" t="s">
        <v>26</v>
      </c>
      <c r="C8" s="31" t="s">
        <v>21</v>
      </c>
      <c r="D8" s="31" t="s">
        <v>27</v>
      </c>
      <c r="E8" s="32">
        <v>46091.0</v>
      </c>
      <c r="F8" s="32">
        <v>46098.0</v>
      </c>
      <c r="G8" s="33">
        <f t="shared" si="1"/>
        <v>8</v>
      </c>
      <c r="H8" s="34" t="s">
        <v>23</v>
      </c>
      <c r="I8" s="35" t="s">
        <v>24</v>
      </c>
      <c r="J8" s="36" t="s">
        <v>28</v>
      </c>
    </row>
    <row r="9">
      <c r="A9" s="30" t="s">
        <v>19</v>
      </c>
      <c r="B9" s="31" t="s">
        <v>29</v>
      </c>
      <c r="C9" s="31" t="s">
        <v>21</v>
      </c>
      <c r="D9" s="37" t="s">
        <v>30</v>
      </c>
      <c r="E9" s="32">
        <v>46091.0</v>
      </c>
      <c r="F9" s="32">
        <v>46098.0</v>
      </c>
      <c r="G9" s="33">
        <f t="shared" si="1"/>
        <v>8</v>
      </c>
      <c r="H9" s="34" t="s">
        <v>23</v>
      </c>
      <c r="I9" s="35" t="s">
        <v>24</v>
      </c>
      <c r="J9" s="36" t="s">
        <v>31</v>
      </c>
    </row>
    <row r="10">
      <c r="A10" s="30" t="s">
        <v>19</v>
      </c>
      <c r="B10" s="31" t="s">
        <v>32</v>
      </c>
      <c r="C10" s="31" t="s">
        <v>21</v>
      </c>
      <c r="D10" s="37" t="s">
        <v>33</v>
      </c>
      <c r="E10" s="32">
        <v>46091.0</v>
      </c>
      <c r="F10" s="32">
        <v>46098.0</v>
      </c>
      <c r="G10" s="33">
        <f t="shared" si="1"/>
        <v>8</v>
      </c>
      <c r="H10" s="38" t="s">
        <v>34</v>
      </c>
      <c r="I10" s="35" t="s">
        <v>24</v>
      </c>
      <c r="J10" s="36" t="s">
        <v>35</v>
      </c>
    </row>
    <row r="11">
      <c r="A11" s="30" t="s">
        <v>19</v>
      </c>
      <c r="B11" s="31" t="s">
        <v>36</v>
      </c>
      <c r="C11" s="31" t="s">
        <v>21</v>
      </c>
      <c r="D11" s="37" t="s">
        <v>37</v>
      </c>
      <c r="E11" s="32">
        <v>46099.0</v>
      </c>
      <c r="F11" s="32">
        <v>46105.0</v>
      </c>
      <c r="G11" s="33">
        <f t="shared" si="1"/>
        <v>7</v>
      </c>
      <c r="H11" s="39" t="s">
        <v>38</v>
      </c>
      <c r="I11" s="35" t="s">
        <v>24</v>
      </c>
      <c r="J11" s="36" t="s">
        <v>39</v>
      </c>
    </row>
    <row r="12">
      <c r="A12" s="40"/>
      <c r="B12" s="41" t="s">
        <v>40</v>
      </c>
      <c r="C12" s="40"/>
      <c r="D12" s="42"/>
      <c r="E12" s="43"/>
      <c r="F12" s="43"/>
      <c r="G12" s="44" t="str">
        <f t="shared" si="1"/>
        <v/>
      </c>
      <c r="H12" s="45"/>
      <c r="I12" s="45"/>
      <c r="J12" s="46"/>
    </row>
    <row r="13">
      <c r="A13" s="30" t="s">
        <v>19</v>
      </c>
      <c r="B13" s="31" t="s">
        <v>41</v>
      </c>
      <c r="C13" s="31" t="s">
        <v>42</v>
      </c>
      <c r="D13" s="31" t="s">
        <v>37</v>
      </c>
      <c r="E13" s="32">
        <v>46106.0</v>
      </c>
      <c r="F13" s="32">
        <v>46111.0</v>
      </c>
      <c r="G13" s="33">
        <f t="shared" si="1"/>
        <v>6</v>
      </c>
      <c r="H13" s="39" t="s">
        <v>38</v>
      </c>
      <c r="I13" s="35" t="s">
        <v>24</v>
      </c>
      <c r="J13" s="36" t="s">
        <v>43</v>
      </c>
    </row>
    <row r="14">
      <c r="A14" s="30" t="s">
        <v>19</v>
      </c>
      <c r="B14" s="31" t="s">
        <v>44</v>
      </c>
      <c r="C14" s="31" t="s">
        <v>42</v>
      </c>
      <c r="D14" s="31" t="s">
        <v>37</v>
      </c>
      <c r="E14" s="47">
        <v>46112.0</v>
      </c>
      <c r="F14" s="32">
        <v>46124.0</v>
      </c>
      <c r="G14" s="33">
        <f t="shared" si="1"/>
        <v>13</v>
      </c>
      <c r="H14" s="39" t="s">
        <v>38</v>
      </c>
      <c r="I14" s="35" t="s">
        <v>24</v>
      </c>
      <c r="J14" s="36" t="s">
        <v>45</v>
      </c>
    </row>
    <row r="15">
      <c r="A15" s="30" t="s">
        <v>19</v>
      </c>
      <c r="B15" s="31" t="s">
        <v>46</v>
      </c>
      <c r="C15" s="31" t="s">
        <v>21</v>
      </c>
      <c r="D15" s="31" t="s">
        <v>22</v>
      </c>
      <c r="E15" s="32">
        <v>46106.0</v>
      </c>
      <c r="F15" s="32">
        <v>46113.0</v>
      </c>
      <c r="G15" s="33">
        <f t="shared" si="1"/>
        <v>8</v>
      </c>
      <c r="H15" s="38" t="s">
        <v>34</v>
      </c>
      <c r="I15" s="35" t="s">
        <v>24</v>
      </c>
      <c r="J15" s="36" t="s">
        <v>47</v>
      </c>
    </row>
    <row r="16">
      <c r="A16" s="48"/>
      <c r="B16" s="49" t="s">
        <v>48</v>
      </c>
      <c r="C16" s="48"/>
      <c r="D16" s="50"/>
      <c r="E16" s="51"/>
      <c r="F16" s="51"/>
      <c r="G16" s="52" t="str">
        <f t="shared" si="1"/>
        <v/>
      </c>
      <c r="H16" s="53"/>
      <c r="I16" s="53"/>
      <c r="J16" s="54"/>
    </row>
    <row r="17" ht="30.75" customHeight="1">
      <c r="A17" s="55" t="s">
        <v>19</v>
      </c>
      <c r="B17" s="56" t="s">
        <v>49</v>
      </c>
      <c r="C17" s="57" t="s">
        <v>42</v>
      </c>
      <c r="D17" s="58"/>
      <c r="E17" s="59">
        <v>46125.0</v>
      </c>
      <c r="F17" s="59">
        <v>46132.0</v>
      </c>
      <c r="G17" s="60">
        <f t="shared" si="1"/>
        <v>8</v>
      </c>
      <c r="H17" s="61" t="s">
        <v>38</v>
      </c>
      <c r="I17" s="61" t="s">
        <v>24</v>
      </c>
      <c r="J17" s="62"/>
    </row>
    <row r="18" ht="45.0" customHeight="1">
      <c r="A18" s="55" t="s">
        <v>19</v>
      </c>
      <c r="B18" s="56" t="s">
        <v>50</v>
      </c>
      <c r="C18" s="57" t="s">
        <v>42</v>
      </c>
      <c r="D18" s="58"/>
      <c r="E18" s="59">
        <v>46125.0</v>
      </c>
      <c r="F18" s="59">
        <v>46132.0</v>
      </c>
      <c r="G18" s="60">
        <f t="shared" si="1"/>
        <v>8</v>
      </c>
      <c r="H18" s="61" t="s">
        <v>38</v>
      </c>
      <c r="I18" s="61" t="s">
        <v>24</v>
      </c>
      <c r="J18" s="62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>
      <c r="A20" s="63"/>
      <c r="B20" s="64" t="s">
        <v>51</v>
      </c>
      <c r="C20" s="65"/>
      <c r="D20" s="65"/>
      <c r="E20" s="65"/>
      <c r="F20" s="65"/>
      <c r="G20" s="65"/>
      <c r="H20" s="65"/>
      <c r="I20" s="19"/>
      <c r="J20" s="19"/>
    </row>
    <row r="21">
      <c r="A21" s="63"/>
      <c r="B21" s="65"/>
      <c r="C21" s="65"/>
      <c r="D21" s="65"/>
      <c r="E21" s="65"/>
      <c r="F21" s="65"/>
      <c r="G21" s="65"/>
      <c r="H21" s="65"/>
      <c r="I21" s="19"/>
      <c r="J21" s="19"/>
    </row>
    <row r="22">
      <c r="A22" s="65"/>
      <c r="B22" s="66" t="s">
        <v>52</v>
      </c>
      <c r="C22" s="65"/>
      <c r="D22" s="66" t="s">
        <v>16</v>
      </c>
      <c r="E22" s="65"/>
      <c r="F22" s="66" t="s">
        <v>15</v>
      </c>
      <c r="G22" s="65"/>
      <c r="H22" s="2"/>
      <c r="I22" s="19"/>
      <c r="J22" s="19"/>
    </row>
    <row r="23">
      <c r="A23" s="65"/>
      <c r="B23" s="67" t="s">
        <v>53</v>
      </c>
      <c r="C23" s="65"/>
      <c r="D23" s="68" t="s">
        <v>23</v>
      </c>
      <c r="E23" s="65"/>
      <c r="F23" s="69" t="s">
        <v>24</v>
      </c>
      <c r="G23" s="65"/>
      <c r="H23" s="2"/>
      <c r="I23" s="19"/>
      <c r="J23" s="19"/>
    </row>
    <row r="24">
      <c r="A24" s="65"/>
      <c r="B24" s="70" t="s">
        <v>19</v>
      </c>
      <c r="C24" s="65"/>
      <c r="D24" s="71" t="s">
        <v>34</v>
      </c>
      <c r="E24" s="65"/>
      <c r="F24" s="72" t="s">
        <v>54</v>
      </c>
      <c r="G24" s="65"/>
      <c r="H24" s="2"/>
      <c r="I24" s="19"/>
      <c r="J24" s="19"/>
    </row>
    <row r="25">
      <c r="A25" s="65"/>
      <c r="B25" s="63"/>
      <c r="C25" s="65"/>
      <c r="D25" s="73" t="s">
        <v>38</v>
      </c>
      <c r="E25" s="65"/>
      <c r="F25" s="74" t="s">
        <v>55</v>
      </c>
      <c r="G25" s="65"/>
      <c r="H25" s="2"/>
      <c r="I25" s="19"/>
      <c r="J25" s="19"/>
    </row>
    <row r="26">
      <c r="A26" s="65"/>
      <c r="B26" s="63"/>
      <c r="C26" s="65"/>
      <c r="D26" s="2"/>
      <c r="E26" s="65"/>
      <c r="F26" s="75" t="s">
        <v>56</v>
      </c>
      <c r="G26" s="65"/>
      <c r="H26" s="2"/>
      <c r="I26" s="19"/>
      <c r="J26" s="19"/>
    </row>
    <row r="27">
      <c r="A27" s="65"/>
      <c r="B27" s="63"/>
      <c r="C27" s="65"/>
      <c r="D27" s="2"/>
      <c r="E27" s="65"/>
      <c r="F27" s="76" t="s">
        <v>57</v>
      </c>
      <c r="G27" s="65"/>
      <c r="H27" s="2"/>
      <c r="I27" s="19"/>
      <c r="J27" s="19"/>
    </row>
    <row r="28">
      <c r="A28" s="65"/>
      <c r="B28" s="63"/>
      <c r="C28" s="65"/>
      <c r="D28" s="2"/>
      <c r="E28" s="65"/>
      <c r="F28" s="77" t="s">
        <v>58</v>
      </c>
      <c r="G28" s="65"/>
      <c r="H28" s="2"/>
      <c r="I28" s="19"/>
      <c r="J28" s="19"/>
    </row>
    <row r="29">
      <c r="A29" s="65"/>
      <c r="B29" s="65"/>
      <c r="C29" s="65"/>
      <c r="D29" s="2"/>
      <c r="E29" s="65"/>
      <c r="F29" s="30" t="s">
        <v>59</v>
      </c>
      <c r="G29" s="65"/>
      <c r="H29" s="2"/>
      <c r="I29" s="19"/>
      <c r="J29" s="19"/>
    </row>
  </sheetData>
  <mergeCells count="4">
    <mergeCell ref="A2:C2"/>
    <mergeCell ref="H2:J2"/>
    <mergeCell ref="A3:C3"/>
    <mergeCell ref="H3:J3"/>
  </mergeCells>
  <dataValidations>
    <dataValidation type="list" allowBlank="1" showErrorMessage="1" sqref="B22">
      <formula1>"c29 : c30"</formula1>
    </dataValidation>
    <dataValidation type="list" allowBlank="1" showErrorMessage="1" sqref="D22">
      <formula1>"e29:e31"</formula1>
    </dataValidation>
    <dataValidation type="list" allowBlank="1" showErrorMessage="1" sqref="I6:I18">
      <formula1>$F$23:$F$29</formula1>
    </dataValidation>
    <dataValidation type="list" allowBlank="1" showErrorMessage="1" sqref="F22">
      <formula1>"g29:g35"</formula1>
    </dataValidation>
    <dataValidation type="list" allowBlank="1" showErrorMessage="1" sqref="H6:H18">
      <formula1>$D$23:$D$25</formula1>
    </dataValidation>
    <dataValidation type="list" allowBlank="1" showErrorMessage="1" sqref="A6:A18">
      <formula1>$B$23:$B$24</formula1>
    </dataValidation>
  </dataValidations>
  <drawing r:id="rId1"/>
</worksheet>
</file>